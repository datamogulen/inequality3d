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räkning" sheetId="1" state="visible" r:id="rId3"/>
    <sheet name="Källor &amp; varning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13" authorId="0">
      <text>
        <r>
          <rPr>
            <sz val="10"/>
            <rFont val="Arial"/>
            <family val="2"/>
          </rPr>
          <t xml:space="preserve">PLACEHOLDER. Anthropic publicerar inga siffror. Härledd storleksordning: ~2N FLOPs/token på H100-klass hårdvara. Byt mot din egen källbelagda faktor och redovisa den i artikeln.</t>
        </r>
      </text>
    </comment>
  </commentList>
</comments>
</file>

<file path=xl/sharedStrings.xml><?xml version="1.0" encoding="utf-8"?>
<sst xmlns="http://schemas.openxmlformats.org/spreadsheetml/2006/main" count="84" uniqueCount="78">
  <si>
    <t xml:space="preserve">Energi- och klimatavtryck – en Claude Code-session</t>
  </si>
  <si>
    <t xml:space="preserve">Solsteg/Inequality-arbete 2026-07-16–17 · 1 320 modellsvar · Opus 4.8 + Fable 5</t>
  </si>
  <si>
    <t xml:space="preserve">Gula celler = redigera. Blå text = inmatningsvärde. Allt annat räknas ut med formler.</t>
  </si>
  <si>
    <t xml:space="preserve">1. TOKEN-DATA (uppmätt ur sessionens transcript – ändra inte)</t>
  </si>
  <si>
    <t xml:space="preserve">Kategori</t>
  </si>
  <si>
    <t xml:space="preserve">Tokens</t>
  </si>
  <si>
    <t xml:space="preserve">Kommentar</t>
  </si>
  <si>
    <t xml:space="preserve">Output (genererat)</t>
  </si>
  <si>
    <t xml:space="preserve">decode; störst energi/token</t>
  </si>
  <si>
    <t xml:space="preserve">Unikt kodad input (prefill)</t>
  </si>
  <si>
    <t xml:space="preserve">icke-cachad + cache-skapande</t>
  </si>
  <si>
    <t xml:space="preserve">Cache-läsning (återanvänd kontext)</t>
  </si>
  <si>
    <t xml:space="preserve">~98 % av all input; rabatterad beräkning</t>
  </si>
  <si>
    <t xml:space="preserve">2. ENERGIANTAGANDEN (PLACEHOLDER – ersätt med källbelagda siffror)</t>
  </si>
  <si>
    <t xml:space="preserve">Parameter</t>
  </si>
  <si>
    <t xml:space="preserve">Lågt</t>
  </si>
  <si>
    <t xml:space="preserve">Högt</t>
  </si>
  <si>
    <t xml:space="preserve">Enhet</t>
  </si>
  <si>
    <t xml:space="preserve">Energi per output-token</t>
  </si>
  <si>
    <t xml:space="preserve">Wh/token</t>
  </si>
  <si>
    <t xml:space="preserve">decode, sekventiellt</t>
  </si>
  <si>
    <t xml:space="preserve">Energi per kodad input-token</t>
  </si>
  <si>
    <t xml:space="preserve">prefill, billigare än decode</t>
  </si>
  <si>
    <t xml:space="preserve">Energi per cache-läst token</t>
  </si>
  <si>
    <t xml:space="preserve">endast attention mot cachad KV</t>
  </si>
  <si>
    <t xml:space="preserve">PUE (datacenter-overhead)</t>
  </si>
  <si>
    <t xml:space="preserve">faktor</t>
  </si>
  <si>
    <t xml:space="preserve">hyperskala ~1,1–1,2</t>
  </si>
  <si>
    <t xml:space="preserve">3. ELMIX – koldioxidintensitet (välj/ändra B19)</t>
  </si>
  <si>
    <t xml:space="preserve">Vald elmix</t>
  </si>
  <si>
    <t xml:space="preserve">gCO₂e/kWh</t>
  </si>
  <si>
    <t xml:space="preserve">→ Anthropic kör i molnet, mest USA-regioner</t>
  </si>
  <si>
    <t xml:space="preserve">Referens: Sverige</t>
  </si>
  <si>
    <t xml:space="preserve">Referens: EU-snitt</t>
  </si>
  <si>
    <t xml:space="preserve">Referens: USA-snitt</t>
  </si>
  <si>
    <t xml:space="preserve">Referens: globalt snitt</t>
  </si>
  <si>
    <t xml:space="preserve">4. RESULTAT</t>
  </si>
  <si>
    <t xml:space="preserve">Lågt scenario</t>
  </si>
  <si>
    <t xml:space="preserve">Högt scenario</t>
  </si>
  <si>
    <t xml:space="preserve">Energiåtgång</t>
  </si>
  <si>
    <t xml:space="preserve">kWh</t>
  </si>
  <si>
    <t xml:space="preserve">CO₂-avtryck</t>
  </si>
  <si>
    <t xml:space="preserve">g CO₂e</t>
  </si>
  <si>
    <t xml:space="preserve">kg CO₂e</t>
  </si>
  <si>
    <t xml:space="preserve">5. VARDAGSJÄMFÖRELSER (ungefärligt)</t>
  </si>
  <si>
    <t xml:space="preserve">Jämförelse</t>
  </si>
  <si>
    <t xml:space="preserve">Faktor</t>
  </si>
  <si>
    <t xml:space="preserve">Körsträcka bensinbil (km)</t>
  </si>
  <si>
    <t xml:space="preserve">g CO₂/km (avgaser)</t>
  </si>
  <si>
    <t xml:space="preserve">Koppar kaffe, bryggning (st)</t>
  </si>
  <si>
    <t xml:space="preserve">kWh/kopp</t>
  </si>
  <si>
    <t xml:space="preserve">Smartphone-laddningar (st)</t>
  </si>
  <si>
    <t xml:space="preserve">kWh/laddning</t>
  </si>
  <si>
    <t xml:space="preserve">Timmar LED-lampa 10 W (h)</t>
  </si>
  <si>
    <t xml:space="preserve">kWh/timme</t>
  </si>
  <si>
    <t xml:space="preserve">Källor, antaganden och varningar</t>
  </si>
  <si>
    <t xml:space="preserve">TOKEN-DATA (hård, verifierbar):</t>
  </si>
  <si>
    <t xml:space="preserve">Summerad ur sessionens JSONL-transcript (usage-fältet på varje modellsvar). 1 320 svar:</t>
  </si>
  <si>
    <t xml:space="preserve">835 Opus 4.8, 486 Fable 5, 2 syntetiska. Output 2 129 654 · unikt kodad input 11 790 310 ·</t>
  </si>
  <si>
    <t xml:space="preserve">cache-läsning 585 271 851 tokens. Brutto in+ut ≈ 599 M, men ~98 % är cache-återläsning av</t>
  </si>
  <si>
    <t xml:space="preserve">samma växande kontext varje tur – därför separeras token-klasserna här.</t>
  </si>
  <si>
    <t xml:space="preserve">ENERGIANTAGANDEN (MJUKA – detta är osäkerheten):</t>
  </si>
  <si>
    <t xml:space="preserve">Anthropic publicerar INTE energi per token. Siffrorna i blad 1 är PLACEHOLDER i rätt</t>
  </si>
  <si>
    <t xml:space="preserve">storleksordning, härledda ur ~2N FLOPs/token för en modell i 100–300B aktiva parametrar</t>
  </si>
  <si>
    <t xml:space="preserve">på H100-klass hårdvara (~10^15 FLOP/s, ~700 W), plus PUE. Externa uppskattningar för</t>
  </si>
  <si>
    <t xml:space="preserve">frontier-modeller spretar med &gt;1 tiopotens – ersätt med en källa du kan citera och redovisa</t>
  </si>
  <si>
    <t xml:space="preserve">den öppet. Kör lågt/högt som känslighetsanalys; ange ett SPANN, inte en punktsiffra.</t>
  </si>
  <si>
    <t xml:space="preserve">Varför cache-läsning har egen (låg) faktor:</t>
  </si>
  <si>
    <t xml:space="preserve">En cache-läst token är redan kodad – modellen betalar bara attention-kostnaden när nya</t>
  </si>
  <si>
    <t xml:space="preserve">tokens läser mot den cachade KV-cachen, inte full omkodning. Men eftersom volymen är enorm</t>
  </si>
  <si>
    <t xml:space="preserve">(585 M) kan den ändå dominera det höga scenariot. Det är i sig en poäng för artikeln:</t>
  </si>
  <si>
    <t xml:space="preserve">mycket av det aggregerade beräkningsarbetet ligger i att om och om igen läsa kontexten.</t>
  </si>
  <si>
    <t xml:space="preserve">ELMIX:</t>
  </si>
  <si>
    <t xml:space="preserve">gCO₂e/kWh beror helt på var datacentren står. Anthropic kör på molnleverantörer (mest</t>
  </si>
  <si>
    <t xml:space="preserve">USA-regioner). Referensvärden i blad 1: Sverige ~30, EU ~250, USA ~370, globalt ~480.</t>
  </si>
  <si>
    <t xml:space="preserve">KOSTNAD ≠ ENERGI:</t>
  </si>
  <si>
    <t xml:space="preserve">Den notionella API-listkostnaden (~$515–575) speglar INTE energin proportionellt – cache-</t>
  </si>
  <si>
    <t xml:space="preserve">läsning är kraftigt prisrabatterad. Blanda inte ihop de två i artikeln.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</si>
</sst>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00"/>
    <numFmt numFmtId="167" formatCode="0.00"/>
    <numFmt numFmtId="168" formatCode="0.000"/>
    <numFmt numFmtId="169" formatCode="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  <c r="E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5" hidden="false" customHeight="false" outlineLevel="0" collapsed="false">
      <c r="A7" s="6" t="s">
        <v>7</v>
      </c>
      <c r="B7" s="7" t="n">
        <v>2129654</v>
      </c>
      <c r="C7" s="8" t="s">
        <v>8</v>
      </c>
    </row>
    <row r="8" customFormat="false" ht="15" hidden="false" customHeight="false" outlineLevel="0" collapsed="false">
      <c r="A8" s="6" t="s">
        <v>9</v>
      </c>
      <c r="B8" s="7" t="n">
        <v>11790310</v>
      </c>
      <c r="C8" s="8" t="s">
        <v>10</v>
      </c>
    </row>
    <row r="9" customFormat="false" ht="15" hidden="false" customHeight="false" outlineLevel="0" collapsed="false">
      <c r="A9" s="6" t="s">
        <v>11</v>
      </c>
      <c r="B9" s="7" t="n">
        <v>585271851</v>
      </c>
      <c r="C9" s="8" t="s">
        <v>12</v>
      </c>
    </row>
    <row r="11" customFormat="false" ht="15" hidden="false" customHeight="false" outlineLevel="0" collapsed="false">
      <c r="A11" s="9" t="s">
        <v>13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14</v>
      </c>
      <c r="B12" s="5" t="s">
        <v>15</v>
      </c>
      <c r="C12" s="5" t="s">
        <v>16</v>
      </c>
      <c r="D12" s="5" t="s">
        <v>17</v>
      </c>
      <c r="E12" s="5" t="s">
        <v>6</v>
      </c>
    </row>
    <row r="13" customFormat="false" ht="15" hidden="false" customHeight="false" outlineLevel="0" collapsed="false">
      <c r="A13" s="6" t="s">
        <v>18</v>
      </c>
      <c r="B13" s="10" t="n">
        <v>0.0003</v>
      </c>
      <c r="C13" s="10" t="n">
        <v>0.003</v>
      </c>
      <c r="D13" s="8" t="s">
        <v>19</v>
      </c>
      <c r="E13" s="11" t="s">
        <v>20</v>
      </c>
    </row>
    <row r="14" customFormat="false" ht="15" hidden="false" customHeight="false" outlineLevel="0" collapsed="false">
      <c r="A14" s="6" t="s">
        <v>21</v>
      </c>
      <c r="B14" s="10" t="n">
        <v>0.0001</v>
      </c>
      <c r="C14" s="10" t="n">
        <v>0.001</v>
      </c>
      <c r="D14" s="8" t="s">
        <v>19</v>
      </c>
      <c r="E14" s="11" t="s">
        <v>22</v>
      </c>
    </row>
    <row r="15" customFormat="false" ht="15" hidden="false" customHeight="false" outlineLevel="0" collapsed="false">
      <c r="A15" s="6" t="s">
        <v>23</v>
      </c>
      <c r="B15" s="10" t="n">
        <v>5E-006</v>
      </c>
      <c r="C15" s="10" t="n">
        <v>5E-005</v>
      </c>
      <c r="D15" s="8" t="s">
        <v>19</v>
      </c>
      <c r="E15" s="11" t="s">
        <v>24</v>
      </c>
    </row>
    <row r="16" customFormat="false" ht="15" hidden="false" customHeight="false" outlineLevel="0" collapsed="false">
      <c r="A16" s="6" t="s">
        <v>25</v>
      </c>
      <c r="B16" s="12" t="n">
        <v>1.2</v>
      </c>
      <c r="C16" s="6"/>
      <c r="D16" s="8" t="s">
        <v>26</v>
      </c>
      <c r="E16" s="11" t="s">
        <v>27</v>
      </c>
    </row>
    <row r="18" customFormat="false" ht="15" hidden="false" customHeight="false" outlineLevel="0" collapsed="false">
      <c r="A18" s="9" t="s">
        <v>28</v>
      </c>
      <c r="B18" s="4"/>
      <c r="C18" s="4"/>
      <c r="D18" s="4"/>
      <c r="E18" s="4"/>
    </row>
    <row r="19" customFormat="false" ht="32.8" hidden="false" customHeight="false" outlineLevel="0" collapsed="false">
      <c r="A19" s="13" t="s">
        <v>29</v>
      </c>
      <c r="B19" s="14" t="n">
        <v>400</v>
      </c>
      <c r="C19" s="8" t="s">
        <v>30</v>
      </c>
      <c r="D19" s="11" t="s">
        <v>31</v>
      </c>
    </row>
    <row r="20" customFormat="false" ht="15" hidden="false" customHeight="false" outlineLevel="0" collapsed="false">
      <c r="A20" s="2" t="s">
        <v>32</v>
      </c>
      <c r="B20" s="15" t="n">
        <v>30</v>
      </c>
    </row>
    <row r="21" customFormat="false" ht="15" hidden="false" customHeight="false" outlineLevel="0" collapsed="false">
      <c r="A21" s="2" t="s">
        <v>33</v>
      </c>
      <c r="B21" s="15" t="n">
        <v>250</v>
      </c>
    </row>
    <row r="22" customFormat="false" ht="15" hidden="false" customHeight="false" outlineLevel="0" collapsed="false">
      <c r="A22" s="2" t="s">
        <v>34</v>
      </c>
      <c r="B22" s="15" t="n">
        <v>370</v>
      </c>
    </row>
    <row r="23" customFormat="false" ht="15" hidden="false" customHeight="false" outlineLevel="0" collapsed="false">
      <c r="A23" s="2" t="s">
        <v>35</v>
      </c>
      <c r="B23" s="15" t="n">
        <v>480</v>
      </c>
    </row>
    <row r="25" customFormat="false" ht="15" hidden="false" customHeight="false" outlineLevel="0" collapsed="false">
      <c r="A25" s="9" t="s">
        <v>36</v>
      </c>
      <c r="B25" s="4"/>
      <c r="C25" s="4"/>
      <c r="D25" s="4"/>
      <c r="E25" s="4"/>
    </row>
    <row r="26" customFormat="false" ht="15" hidden="false" customHeight="false" outlineLevel="0" collapsed="false">
      <c r="A26" s="5"/>
      <c r="B26" s="5" t="s">
        <v>37</v>
      </c>
      <c r="C26" s="5" t="s">
        <v>38</v>
      </c>
    </row>
    <row r="27" customFormat="false" ht="15" hidden="false" customHeight="false" outlineLevel="0" collapsed="false">
      <c r="A27" s="16" t="s">
        <v>39</v>
      </c>
      <c r="B27" s="17" t="n">
        <f aca="false">(B7*B13+B8*B14+B9*B15)*$B$16/1000</f>
        <v>5.693143746</v>
      </c>
      <c r="C27" s="17" t="n">
        <f aca="false">(B7*C13+B8*C14+B9*C15)*$B$16/1000</f>
        <v>56.93143746</v>
      </c>
      <c r="D27" s="8" t="s">
        <v>40</v>
      </c>
    </row>
    <row r="28" customFormat="false" ht="15" hidden="false" customHeight="false" outlineLevel="0" collapsed="false">
      <c r="A28" s="16" t="s">
        <v>41</v>
      </c>
      <c r="B28" s="18" t="n">
        <f aca="false">B27*$B$19</f>
        <v>2277.2574984</v>
      </c>
      <c r="C28" s="18" t="n">
        <f aca="false">C27*$B$19</f>
        <v>22772.574984</v>
      </c>
      <c r="D28" s="8" t="s">
        <v>42</v>
      </c>
    </row>
    <row r="29" customFormat="false" ht="15" hidden="false" customHeight="false" outlineLevel="0" collapsed="false">
      <c r="A29" s="16" t="s">
        <v>41</v>
      </c>
      <c r="B29" s="19" t="n">
        <f aca="false">B28/1000</f>
        <v>2.2772574984</v>
      </c>
      <c r="C29" s="19" t="n">
        <f aca="false">C28/1000</f>
        <v>22.772574984</v>
      </c>
      <c r="D29" s="8" t="s">
        <v>43</v>
      </c>
    </row>
    <row r="31" customFormat="false" ht="15" hidden="false" customHeight="false" outlineLevel="0" collapsed="false">
      <c r="A31" s="9" t="s">
        <v>44</v>
      </c>
      <c r="B31" s="4"/>
      <c r="C31" s="4"/>
      <c r="D31" s="4"/>
      <c r="E31" s="4"/>
    </row>
    <row r="32" customFormat="false" ht="15" hidden="false" customHeight="false" outlineLevel="0" collapsed="false">
      <c r="A32" s="5" t="s">
        <v>45</v>
      </c>
      <c r="B32" s="5" t="s">
        <v>46</v>
      </c>
      <c r="C32" s="5" t="s">
        <v>15</v>
      </c>
      <c r="D32" s="5" t="s">
        <v>16</v>
      </c>
    </row>
    <row r="33" customFormat="false" ht="15" hidden="false" customHeight="false" outlineLevel="0" collapsed="false">
      <c r="A33" s="6" t="s">
        <v>47</v>
      </c>
      <c r="B33" s="20" t="n">
        <v>120</v>
      </c>
      <c r="C33" s="21" t="n">
        <f aca="false">B28/B33</f>
        <v>18.97714582</v>
      </c>
      <c r="D33" s="21" t="n">
        <f aca="false">C28/B33</f>
        <v>189.7714582</v>
      </c>
      <c r="E33" s="2" t="s">
        <v>48</v>
      </c>
    </row>
    <row r="34" customFormat="false" ht="15" hidden="false" customHeight="false" outlineLevel="0" collapsed="false">
      <c r="A34" s="6" t="s">
        <v>49</v>
      </c>
      <c r="B34" s="22" t="n">
        <v>0.03</v>
      </c>
      <c r="C34" s="23" t="n">
        <f aca="false">B27/B34</f>
        <v>189.7714582</v>
      </c>
      <c r="D34" s="23" t="n">
        <f aca="false">C27/B34</f>
        <v>1897.714582</v>
      </c>
      <c r="E34" s="2" t="s">
        <v>50</v>
      </c>
    </row>
    <row r="35" customFormat="false" ht="15" hidden="false" customHeight="false" outlineLevel="0" collapsed="false">
      <c r="A35" s="6" t="s">
        <v>51</v>
      </c>
      <c r="B35" s="22" t="n">
        <v>0.012</v>
      </c>
      <c r="C35" s="23" t="n">
        <f aca="false">B27/B35</f>
        <v>474.4286455</v>
      </c>
      <c r="D35" s="23" t="n">
        <f aca="false">C27/B35</f>
        <v>4744.286455</v>
      </c>
      <c r="E35" s="2" t="s">
        <v>52</v>
      </c>
    </row>
    <row r="36" customFormat="false" ht="15" hidden="false" customHeight="false" outlineLevel="0" collapsed="false">
      <c r="A36" s="6" t="s">
        <v>53</v>
      </c>
      <c r="B36" s="22" t="n">
        <v>0.01</v>
      </c>
      <c r="C36" s="23" t="n">
        <f aca="false">B27/B36</f>
        <v>569.3143746</v>
      </c>
      <c r="D36" s="23" t="n">
        <f aca="false">C27/B36</f>
        <v>5693.143746</v>
      </c>
      <c r="E36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24" t="s">
        <v>55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6" t="s">
        <v>56</v>
      </c>
    </row>
    <row r="4" customFormat="false" ht="15" hidden="false" customHeight="false" outlineLevel="0" collapsed="false">
      <c r="A4" s="25" t="s">
        <v>57</v>
      </c>
    </row>
    <row r="5" customFormat="false" ht="15" hidden="false" customHeight="false" outlineLevel="0" collapsed="false">
      <c r="A5" s="25" t="s">
        <v>58</v>
      </c>
    </row>
    <row r="6" customFormat="false" ht="15" hidden="false" customHeight="false" outlineLevel="0" collapsed="false">
      <c r="A6" s="25" t="s">
        <v>59</v>
      </c>
    </row>
    <row r="7" customFormat="false" ht="15" hidden="false" customHeight="false" outlineLevel="0" collapsed="false">
      <c r="A7" s="25" t="s">
        <v>60</v>
      </c>
    </row>
    <row r="8" customFormat="false" ht="15" hidden="false" customHeight="false" outlineLevel="0" collapsed="false">
      <c r="A8" s="25"/>
    </row>
    <row r="9" customFormat="false" ht="15" hidden="false" customHeight="false" outlineLevel="0" collapsed="false">
      <c r="A9" s="26" t="s">
        <v>61</v>
      </c>
    </row>
    <row r="10" customFormat="false" ht="15" hidden="false" customHeight="false" outlineLevel="0" collapsed="false">
      <c r="A10" s="25" t="s">
        <v>62</v>
      </c>
    </row>
    <row r="11" customFormat="false" ht="15" hidden="false" customHeight="false" outlineLevel="0" collapsed="false">
      <c r="A11" s="25" t="s">
        <v>63</v>
      </c>
    </row>
    <row r="12" customFormat="false" ht="15" hidden="false" customHeight="false" outlineLevel="0" collapsed="false">
      <c r="A12" s="25" t="s">
        <v>64</v>
      </c>
    </row>
    <row r="13" customFormat="false" ht="15" hidden="false" customHeight="false" outlineLevel="0" collapsed="false">
      <c r="A13" s="25" t="s">
        <v>65</v>
      </c>
    </row>
    <row r="14" customFormat="false" ht="15" hidden="false" customHeight="false" outlineLevel="0" collapsed="false">
      <c r="A14" s="25" t="s">
        <v>66</v>
      </c>
    </row>
    <row r="15" customFormat="false" ht="15" hidden="false" customHeight="false" outlineLevel="0" collapsed="false">
      <c r="A15" s="25"/>
    </row>
    <row r="16" customFormat="false" ht="15" hidden="false" customHeight="false" outlineLevel="0" collapsed="false">
      <c r="A16" s="26" t="s">
        <v>67</v>
      </c>
    </row>
    <row r="17" customFormat="false" ht="15" hidden="false" customHeight="false" outlineLevel="0" collapsed="false">
      <c r="A17" s="25" t="s">
        <v>68</v>
      </c>
    </row>
    <row r="18" customFormat="false" ht="15" hidden="false" customHeight="false" outlineLevel="0" collapsed="false">
      <c r="A18" s="25" t="s">
        <v>69</v>
      </c>
    </row>
    <row r="19" customFormat="false" ht="15" hidden="false" customHeight="false" outlineLevel="0" collapsed="false">
      <c r="A19" s="25" t="s">
        <v>70</v>
      </c>
    </row>
    <row r="20" customFormat="false" ht="15" hidden="false" customHeight="false" outlineLevel="0" collapsed="false">
      <c r="A20" s="25" t="s">
        <v>71</v>
      </c>
    </row>
    <row r="21" customFormat="false" ht="15" hidden="false" customHeight="false" outlineLevel="0" collapsed="false">
      <c r="A21" s="25"/>
    </row>
    <row r="22" customFormat="false" ht="15" hidden="false" customHeight="false" outlineLevel="0" collapsed="false">
      <c r="A22" s="26" t="s">
        <v>72</v>
      </c>
    </row>
    <row r="23" customFormat="false" ht="15" hidden="false" customHeight="false" outlineLevel="0" collapsed="false">
      <c r="A23" s="25" t="s">
        <v>73</v>
      </c>
    </row>
    <row r="24" customFormat="false" ht="15" hidden="false" customHeight="false" outlineLevel="0" collapsed="false">
      <c r="A24" s="25" t="s">
        <v>74</v>
      </c>
    </row>
    <row r="25" customFormat="false" ht="15" hidden="false" customHeight="false" outlineLevel="0" collapsed="false">
      <c r="A25" s="25"/>
    </row>
    <row r="26" customFormat="false" ht="15" hidden="false" customHeight="false" outlineLevel="0" collapsed="false">
      <c r="A26" s="26" t="s">
        <v>75</v>
      </c>
    </row>
    <row r="27" customFormat="false" ht="15" hidden="false" customHeight="false" outlineLevel="0" collapsed="false">
      <c r="A27" s="25" t="s">
        <v>76</v>
      </c>
    </row>
    <row r="28" customFormat="false" ht="15" hidden="false" customHeight="false" outlineLevel="0" collapsed="false">
      <c r="A28" s="2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2026-07-17T07:33:04Z</dcterms:created>
  <dc:creator>openpyxl</dc:creator>
  <dc:description/>
  <dc:language>en-US</dc:language>
  <cp:lastModifiedBy/>
  <dcterms:modified xsi:type="dcterms:W3CDTF">2026-07-17T07:33:04Z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